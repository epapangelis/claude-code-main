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tacar\Desktop\Χρήσιμα\Checks\"/>
    </mc:Choice>
  </mc:AlternateContent>
  <xr:revisionPtr revIDLastSave="0" documentId="13_ncr:1_{98DC3080-E3CB-4EA9-B5D3-AA4D72F8714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Ιδιώτες" sheetId="1" r:id="rId1"/>
    <sheet name="Ατομικές Επιχειρήσεις" sheetId="2" r:id="rId2"/>
    <sheet name="Νομικά Πρόσωπα" sheetId="3" r:id="rId3"/>
    <sheet name="Επεξήγηση Φόρμουλας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3" i="1" l="1"/>
  <c r="B6" i="1"/>
  <c r="B42" i="2"/>
  <c r="B16" i="2"/>
  <c r="B38" i="2"/>
  <c r="B34" i="2"/>
  <c r="B32" i="2"/>
  <c r="B38" i="1"/>
  <c r="B32" i="1"/>
  <c r="B9" i="2"/>
  <c r="B10" i="2"/>
  <c r="B12" i="3"/>
  <c r="B18" i="3"/>
  <c r="B22" i="3"/>
  <c r="B50" i="2"/>
  <c r="B49" i="2"/>
  <c r="B20" i="2"/>
  <c r="B15" i="2"/>
  <c r="B49" i="1"/>
  <c r="B34" i="1"/>
  <c r="B21" i="1"/>
  <c r="B35" i="3"/>
  <c r="B17" i="3"/>
  <c r="B42" i="1" l="1"/>
  <c r="B43" i="1" s="1"/>
  <c r="B21" i="2"/>
  <c r="B22" i="2" s="1"/>
  <c r="B23" i="3"/>
  <c r="B24" i="3" s="1"/>
  <c r="B25" i="3" s="1"/>
  <c r="B29" i="3" s="1"/>
  <c r="B23" i="2" l="1"/>
  <c r="B45" i="1"/>
  <c r="B46" i="1" s="1"/>
  <c r="B47" i="1" s="1"/>
  <c r="B52" i="1" s="1"/>
  <c r="B31" i="3"/>
  <c r="B45" i="2" l="1"/>
  <c r="B43" i="2"/>
  <c r="B32" i="3"/>
  <c r="B33" i="3" s="1"/>
  <c r="B46" i="2" l="1"/>
  <c r="B47" i="2" s="1"/>
  <c r="B53" i="2" s="1"/>
  <c r="B36" i="3"/>
  <c r="B39" i="3" s="1"/>
</calcChain>
</file>

<file path=xl/sharedStrings.xml><?xml version="1.0" encoding="utf-8"?>
<sst xmlns="http://schemas.openxmlformats.org/spreadsheetml/2006/main" count="345" uniqueCount="230">
  <si>
    <t>CREDIT LIMIT CALCULATOR  —  ΙΔΙΩΤΕΣ</t>
  </si>
  <si>
    <t>ΕΙΣΟΔΗΜΑΤΑ  (μηνιαία ποσά ή ετήσια ÷ 12)</t>
  </si>
  <si>
    <t>Παράμετρος</t>
  </si>
  <si>
    <t>Ποσό (€)</t>
  </si>
  <si>
    <t>Κωδικός / Σημείωση</t>
  </si>
  <si>
    <t>Κύριες συντάξεις</t>
  </si>
  <si>
    <t>Κωδ. 303/304</t>
  </si>
  <si>
    <t>Επικουρικές συντάξεις</t>
  </si>
  <si>
    <t>Κωδ. 321/322</t>
  </si>
  <si>
    <t>Αμοιβές μελών ΔΣ / διαχ. ΕΠΕ, ΙΚΕ, ΟΕ, ΕΕ</t>
  </si>
  <si>
    <t>Κωδ. 325/326</t>
  </si>
  <si>
    <t>Εισόδημα επιχ. δραστ. περ.στ' άρθρ.12</t>
  </si>
  <si>
    <t>Κωδ. 307/308</t>
  </si>
  <si>
    <t>Καθαρά κέρδη επιχ. δραστηριότητας</t>
  </si>
  <si>
    <t>Κωδ. 601/602</t>
  </si>
  <si>
    <t>Καθαρά κέρδη αλλοδαπής</t>
  </si>
  <si>
    <t>Κωδ. 605/606</t>
  </si>
  <si>
    <t>Μερίσματα ημεδαπής</t>
  </si>
  <si>
    <t>Κωδ. 291/292</t>
  </si>
  <si>
    <t>Μερίσματα αλλοδαπής</t>
  </si>
  <si>
    <t>Κωδ. 293/294</t>
  </si>
  <si>
    <t>Κέρδη από συμμετοχή σε ΝΠ (απλογραφικά)</t>
  </si>
  <si>
    <t>Κωδ. 431/432</t>
  </si>
  <si>
    <t>Εισόδημα από εκμίσθωση ακινήτων (ετήσιο ÷ 12)</t>
  </si>
  <si>
    <t>Κωδ. 103-116</t>
  </si>
  <si>
    <t>ΕΙΣΟΔΗΜΑ ΣΥΖΥΓΟΥ  (20% επί ετήσιου εισοδήματος)</t>
  </si>
  <si>
    <t>Ετήσιο εισόδημα συζύγου (από εκκαθαριστικό)</t>
  </si>
  <si>
    <t>Ετήσιο ποσό — ÷12 γίνεται αυτόματα</t>
  </si>
  <si>
    <t>Ετήσια συνεισφορά συζύγου  (ετήσιο × 20%)</t>
  </si>
  <si>
    <t>20% του ετήσιου</t>
  </si>
  <si>
    <t>▶  ΣΥΝΟΛΟ ΚΑΘΑΡΟΥ ΕΙΣΟΔΗΜΑΤΟΣ</t>
  </si>
  <si>
    <t>ΥΠΟΧΡΕΩΣΕΙΣ  (μηνιαία ποσά ή ετήσια ÷ 12)</t>
  </si>
  <si>
    <t>Κωδ. 727/728</t>
  </si>
  <si>
    <t>Ενοίκιο κύριας κατοικίας</t>
  </si>
  <si>
    <t>Ενοίκιο κατοικίας σπουδαζόντων παιδιών</t>
  </si>
  <si>
    <t>Ενοίκιο λοιπών ακινήτων</t>
  </si>
  <si>
    <t>Αριθμός ανήλικων παιδιών</t>
  </si>
  <si>
    <t>Πίνακας 8 Ε1  (πλήθος)</t>
  </si>
  <si>
    <t xml:space="preserve">  └ Κόστος παιδιών  (× 200 €/μήνα)</t>
  </si>
  <si>
    <t>Δίδακτρα ιδιωτικών σχολείων  (ετήσιο ÷ 12)</t>
  </si>
  <si>
    <t>Κωδ. 769/770</t>
  </si>
  <si>
    <t>Αμοιβές βοηθών / οδηγών κλπ  (ετήσιο ÷ 12)</t>
  </si>
  <si>
    <t>Κωδ. 771-778</t>
  </si>
  <si>
    <t>▶  ΣΥΝΟΛΟ ΥΠΟΧΡΕΩΣΕΩΝ</t>
  </si>
  <si>
    <t>ΥΠΟΛΟΓΙΣΜΟΣ CREDIT LIMIT</t>
  </si>
  <si>
    <t>Διαθέσιμο εισόδημα  (NetIncome − Obligations)</t>
  </si>
  <si>
    <t>Βάση για tier</t>
  </si>
  <si>
    <t>Tier ποσοστό  (βάση)</t>
  </si>
  <si>
    <t>Αριθμός εγγυήσεων  (0 = μήνα-μήνα | 1 = 12μηνο | 2 = 24μηνο | 3 = 36μηνο)</t>
  </si>
  <si>
    <t>Εισάγετε 0, 1, 2 ή 3</t>
  </si>
  <si>
    <t xml:space="preserve">  └ Bonus εγγυήσεων  (+5% ανά εγγύηση, μόνο για διαθέσιμο ≤ 5.000 €)</t>
  </si>
  <si>
    <t>Για διαθέσιμο &gt; 5.000 € δεν εφαρμόζεται bonus</t>
  </si>
  <si>
    <t>Τελικό tier  (βάση + bonus εγγυήσεων)</t>
  </si>
  <si>
    <t>Credit Limit προ Τειρεσία</t>
  </si>
  <si>
    <t>Ποσό Τειρεσία  (αθροιστικό υπόλοιπο σε €)</t>
  </si>
  <si>
    <t>0 εάν δεν υπάρχει</t>
  </si>
  <si>
    <t xml:space="preserve">  └ Μείωση λόγω Τειρεσία</t>
  </si>
  <si>
    <t>★  ΤΕΛΙΚΟ CREDIT LIMIT  (€)</t>
  </si>
  <si>
    <t>Credit Limit</t>
  </si>
  <si>
    <t>Αυτόματα εγκρίνονται αιτήματα ΕΩΣ αυτό το ποσό</t>
  </si>
  <si>
    <t>CREDIT LIMIT CALCULATOR  —  ΑΤΟΜΙΚΕΣ ΕΠΙΧΕΙΡΗΣΕΙΣ</t>
  </si>
  <si>
    <t>ΣΤΟΙΧΕΙΑ ΑΠΟ Ε3  (ετήσια)</t>
  </si>
  <si>
    <t>Σύνολο πωλήσεων / τζίρος  (Ε3)</t>
  </si>
  <si>
    <t>Κωδ. 500 — ετήσιο ποσό</t>
  </si>
  <si>
    <t>Καθαρά αποτελέσματα  (Ε3)</t>
  </si>
  <si>
    <t>Κωδ. 555 — θετικό = κέρδος | αρνητικό = ζημιά</t>
  </si>
  <si>
    <t>Αγορά εμπορευμάτων  (Ε3)</t>
  </si>
  <si>
    <t>Κωδ. 102 — ετήσιο ποσό</t>
  </si>
  <si>
    <t>Μειώνει τη ζημιά ή αυξάνει το κέρδος πριν το floor</t>
  </si>
  <si>
    <t>ΣΤΟΙΧΕΙΑ ΦΠΑ  (αφήστε 0 αν δεν υπόκεινται σε ΦΠΑ)</t>
  </si>
  <si>
    <t>Σύνολο εσόδων που υπόκεινται σε ΦΠΑ  (ετήσιο)</t>
  </si>
  <si>
    <t>Από δηλώσεις ΦΠΑ</t>
  </si>
  <si>
    <t xml:space="preserve">  └ Ποσοστό τζίρου με ΦΠΑ</t>
  </si>
  <si>
    <t>έσοδα ΦΠΑ ÷ συνολικός τζίρος</t>
  </si>
  <si>
    <t>Επαληθευμένος τζίρος → υψηλότερο credit limit</t>
  </si>
  <si>
    <t>ADJUSTED INCOME  (floor 12% επί τζίρου)</t>
  </si>
  <si>
    <t>Floor εισόδημα  (τζίρος × 12%)</t>
  </si>
  <si>
    <t>Ελάχιστο αναγνωριζόμενο εισόδημα ανεξαρτήτως δήλωσης</t>
  </si>
  <si>
    <t>Adjusted ετήσιο εισόδημα  (MAX καθαρού+εμπόρευμα, floor)</t>
  </si>
  <si>
    <t>Συμπεριλαμβάνει προσαρμογή εμπορευμάτων</t>
  </si>
  <si>
    <t xml:space="preserve">  └ Adjusted μετά ΦΠΑ bonus</t>
  </si>
  <si>
    <t>▶  Adjusted μηνιαίο εισόδημα  (÷ 12)</t>
  </si>
  <si>
    <t>Διαθέσιμο εισόδημα  (Adjusted − Υποχρεώσεις)</t>
  </si>
  <si>
    <t xml:space="preserve">  └ Bonus εγγυήσεων  (+5% ανά εγγύηση, μόνο για ≤5.000€)</t>
  </si>
  <si>
    <t>Τελικό tier</t>
  </si>
  <si>
    <t xml:space="preserve">  └ Penalty ζημιάς / τζίρου</t>
  </si>
  <si>
    <t>0% αν ζημιά ≤5% τζίρου | 10% αν 5-10% | 15% αν 10-20% | 20% αν &gt;20%</t>
  </si>
  <si>
    <t>CREDIT LIMIT CALCULATOR  —  ΝΟΜΙΚΑ ΠΡΟΣΩΠΑ</t>
  </si>
  <si>
    <t>ΣΤΟΙΧΕΙΑ ΑΠΟ ΕΝΤΥΠΟ Ν  (ετήσια)</t>
  </si>
  <si>
    <t>Ακαθάριστα έσοδα / τζίρος  (Έντυπο Ν)</t>
  </si>
  <si>
    <t>Κωδ. 015 — ετήσιο</t>
  </si>
  <si>
    <t>Κέρδη χρήσης  (θετικό = κέρδος | αρνητικό = ζημιά)</t>
  </si>
  <si>
    <t>Κωδ. 016 ή −017</t>
  </si>
  <si>
    <t>Μεταφερόμενη ζημιά προηγούμενων χρήσεων  (πληροφοριακό)</t>
  </si>
  <si>
    <t>Κωδ. 003 Εντύπου Ν — εισάγετε ποσό ζημιάς (0 αν δεν υπάρχει)</t>
  </si>
  <si>
    <t>ΣΤΟΙΧΕΙΑ ΦΠΑ  (αφήστε 0 αν δεν υπόκειται σε ΦΠΑ)</t>
  </si>
  <si>
    <t>Αν δεν υπόκειται σε ΦΠΑ: αφήστε 0 → χωρίς bonus</t>
  </si>
  <si>
    <t>Ελάχιστο αναγνωριζόμενο εισόδημα ακόμα και σε ζημιά</t>
  </si>
  <si>
    <t>Adjusted ετήσιο εισόδημα  (MAX κέρδους+εμπόρευμα, floor)</t>
  </si>
  <si>
    <t>Βάση: adjusted μηνιαίο εισόδημα</t>
  </si>
  <si>
    <t xml:space="preserve">  └ Bonus εγγυήσεων</t>
  </si>
  <si>
    <t>Credit Limit προ Τειρεσία / Penalties</t>
  </si>
  <si>
    <t>Ποσό Τειρεσία  (€)</t>
  </si>
  <si>
    <t xml:space="preserve">  └ Penalty ζημιάς / τζίρου  (τρέχουσα χρήση)</t>
  </si>
  <si>
    <t>ΕΠΕΞΗΓΗΣΗ ΦΟΡΜΟΥΛΑΣ CREDIT LIMIT</t>
  </si>
  <si>
    <t>ΣΚΟΠΟΣ ΚΑΙ ΛΟΓΙΚΗ</t>
  </si>
  <si>
    <t>Τι υπολογίζει;</t>
  </si>
  <si>
    <t>Το credit limit είναι το μέγιστο αθροιστικό μηνιαίο μίσθωμα που εγκρίνεται αυτόματα χωρίς manual έλεγχο. Αιτήματα πάνω από το όριο παραπέμπονται σε manual αξιολόγηση — δεν απορρίπτονται.</t>
  </si>
  <si>
    <t>Τύποι πελατών</t>
  </si>
  <si>
    <t>(1) Ιδιώτες — βάση Ε1  |  (2) Ατομικές Επιχειρήσεις — βάση Ε3  |  (3) Νομικά Πρόσωπα — βάση Έντυπο Ν + Ε3</t>
  </si>
  <si>
    <t>Κάθε κατηγορία έχει ξεχωριστό tab</t>
  </si>
  <si>
    <t>ΒΗΜΑΤΑ ΥΠΟΛΟΓΙΣΜΟΥ — ΙΔΙΩΤΕΣ</t>
  </si>
  <si>
    <t>Βήμα 1</t>
  </si>
  <si>
    <t>Άθροισμα σταθερών μηνιαίων εισοδημάτων από Ε1 (μισθοί, συντάξεις, μερίσματα, ενοίκια ακινήτων κλπ.)</t>
  </si>
  <si>
    <t>Μόνο σταθερά / επαναλαμβανόμενα</t>
  </si>
  <si>
    <t>Βήμα 2</t>
  </si>
  <si>
    <t>Προσθέτουμε 20% του ετήσιου εισοδήματος συζύγου ÷ 12.</t>
  </si>
  <si>
    <t>Κωδ. Ε1 σύζυγος</t>
  </si>
  <si>
    <t>Βήμα 3</t>
  </si>
  <si>
    <t>Αφαιρούμε σταθερές υποχρεώσεις: δάνεια (÷12), ενοίκια, παιδιά (×200€), δίδακτρα (÷12), βοηθοί (÷12).</t>
  </si>
  <si>
    <t>Αρνητική επίδραση στο διαθέσιμο</t>
  </si>
  <si>
    <t>Βήμα 4</t>
  </si>
  <si>
    <t>Το Διαθέσιμο Εισόδημα πέφτει σε κλιμακωτό πίνακα tier.</t>
  </si>
  <si>
    <t>Βλ. πίνακα Tiers παρακάτω</t>
  </si>
  <si>
    <t>Βήμα 5</t>
  </si>
  <si>
    <t>Bonus εγγυήσεων +5% ανά εγγύηση — ΜΟΝΟ για διαθέσιμο ≤5.000€.</t>
  </si>
  <si>
    <t>Για &gt;5.000€ δεν εφαρμόζεται</t>
  </si>
  <si>
    <t>Βήμα 6</t>
  </si>
  <si>
    <t>Τειρεσίας penalty ανάλογα με ύψος ποσού και αριθμό εγγυήσεων.</t>
  </si>
  <si>
    <t>Βλ. πίνακα Τειρεσία παρακάτω</t>
  </si>
  <si>
    <t>ΒΗΜΑΤΑ ΥΠΟΛΟΓΙΣΜΟΥ — ΑΤΟΜΙΚΕΣ ΕΠΙΧΕΙΡΗΣΕΙΣ</t>
  </si>
  <si>
    <t>Adjusted Income</t>
  </si>
  <si>
    <t>MAX(Καθαρά αποτελέσματα Ε3 + Προσαρμογή εμπορευμάτων, Floor). Floor = Τζίρος × 12%.</t>
  </si>
  <si>
    <t>Floor 12% — ελαστική πολιτική</t>
  </si>
  <si>
    <t>Προσαρμογή εμπορευμάτων</t>
  </si>
  <si>
    <t>Κωδ. 102 (αγορά εμπορευμάτων Ε3): αν ζημιά → +50% επί αγορών. Αν κέρδος → +25% επί αγορών. Αναγνωρίζει ότι η αγορά αποθέματος δεν είναι πραγματική απώλεια.</t>
  </si>
  <si>
    <t>Εφαρμόζεται πριν το MAX/floor</t>
  </si>
  <si>
    <t>ΦΠΑ Bonus</t>
  </si>
  <si>
    <t>≥70% τζίρου με ΦΠΑ: +20%. 50-70%: +10%. &lt;50% ή μη υπόχρεος: 0%.</t>
  </si>
  <si>
    <t>Επαλήθευση τζίρου μέσω ΦΠΑ</t>
  </si>
  <si>
    <t>Penalty ζημιάς</t>
  </si>
  <si>
    <t>Αν ζημιά τρέχουσας χρήσης &gt; 5% τζίρου, εφαρμόζεται penalty στο credit limit. Βλ. πίνακα Penalty Ζημιάς.</t>
  </si>
  <si>
    <t>Δεν εφαρμόζεται αν κέρδος</t>
  </si>
  <si>
    <t>ΒΗΜΑΤΑ ΥΠΟΛΟΓΙΣΜΟΥ — ΝΟΜΙΚΑ ΠΡΟΣΩΠΑ</t>
  </si>
  <si>
    <t>MAX(Κέρδη χρήσης Έντυπο Ν + Προσαρμογή εμπορευμάτων Ε3, Floor). Floor = Τζίρος × 12%.</t>
  </si>
  <si>
    <t>Floor 12% — ίδιο με ατομικές</t>
  </si>
  <si>
    <t>Ίδια λογική με ατομικές (κωδ. 102 Ε3): 50% αν ζημιά, 25% αν κέρδος.</t>
  </si>
  <si>
    <t>Ίδια λογική (≥70%: +20%, 50-70%: +10%). Αν δεν υπόκειται σε ΦΠΑ: εισάγετε 0.</t>
  </si>
  <si>
    <t>0 στο πεδίο = χωρίς bonus</t>
  </si>
  <si>
    <t>Ίδιο με ατομικές — βάσει τρέχουσας χρήσης κέρδους/ζημιάς vs τζίρου. Βλ. πίνακα Penalty Ζημιάς.</t>
  </si>
  <si>
    <t>Μεταφερόμενη ζημιά</t>
  </si>
  <si>
    <t>Πληροφοριακό πεδίο (κωδ. 003 Εντύπου Ν). Δεν οδηγεί σε αυτόματο penalty — λαμβάνεται υπόψη κατά την κρίση στο manual check.</t>
  </si>
  <si>
    <t>Πληροφοριακό — χωρίς penalty</t>
  </si>
  <si>
    <t>ΠΙΝΑΚΑΣ TIERS  (ίδιος για όλες τις κατηγορίες)</t>
  </si>
  <si>
    <t>Διαθέσιμο / Adjusted μηνιαίο (€)</t>
  </si>
  <si>
    <t>Ποσοστό (0 εγγυήσεις)</t>
  </si>
  <si>
    <t>Σημείωση</t>
  </si>
  <si>
    <t>0–600€</t>
  </si>
  <si>
    <t>0%</t>
  </si>
  <si>
    <t>Credit Limit = 0</t>
  </si>
  <si>
    <t>601–1.000€</t>
  </si>
  <si>
    <t>30%</t>
  </si>
  <si>
    <t>1.001–1.500€</t>
  </si>
  <si>
    <t>33%</t>
  </si>
  <si>
    <t>1.501–2.000€</t>
  </si>
  <si>
    <t>35%</t>
  </si>
  <si>
    <t>2.001–3.000€</t>
  </si>
  <si>
    <t>38%</t>
  </si>
  <si>
    <t>3.001–5.000€</t>
  </si>
  <si>
    <t>40%</t>
  </si>
  <si>
    <t>5.001–10.000€</t>
  </si>
  <si>
    <t>Χωρίς bonus εγγυήσεων</t>
  </si>
  <si>
    <t>10.000€+</t>
  </si>
  <si>
    <t>ΠΙΝΑΚΑΣ ΤΕΙΡΕΣΙΑ  (μείωση επί Credit Limit προ Τειρεσία)</t>
  </si>
  <si>
    <t>Ποσό Τειρεσία (€)</t>
  </si>
  <si>
    <t>0 εγγυήσεις</t>
  </si>
  <si>
    <t>1 εγγύηση</t>
  </si>
  <si>
    <t>2 εγγυήσεις</t>
  </si>
  <si>
    <t>3 εγγυήσεις</t>
  </si>
  <si>
    <t>0€</t>
  </si>
  <si>
    <t>1–500€</t>
  </si>
  <si>
    <t>−15%</t>
  </si>
  <si>
    <t>501–1.000€</t>
  </si>
  <si>
    <t>−20%</t>
  </si>
  <si>
    <t>−10%</t>
  </si>
  <si>
    <t>−5%</t>
  </si>
  <si>
    <t>1.001–3.000€</t>
  </si>
  <si>
    <t>−50%</t>
  </si>
  <si>
    <t>−40%</t>
  </si>
  <si>
    <t>−30%</t>
  </si>
  <si>
    <t>3.001€+</t>
  </si>
  <si>
    <t>−100%</t>
  </si>
  <si>
    <t>ΠΙΝΑΚΑΣ PENALTY ΖΗΜΙΑΣ  (μείωση επί Credit Limit — μόνο αν υπάρχει ζημιά)</t>
  </si>
  <si>
    <t>Ζημιά ως % τζίρου</t>
  </si>
  <si>
    <t>Penalty</t>
  </si>
  <si>
    <t>≤ 5%</t>
  </si>
  <si>
    <t>Καμία επίπτωση</t>
  </si>
  <si>
    <t>5%–10%</t>
  </si>
  <si>
    <t>Μικρό penalty</t>
  </si>
  <si>
    <t>10%–20%</t>
  </si>
  <si>
    <t>Μέτριο penalty</t>
  </si>
  <si>
    <t>&gt; 20%</t>
  </si>
  <si>
    <t>Μεγάλο penalty — manual check προτείνεται</t>
  </si>
  <si>
    <t>ΚΩΔΙΚΟΛΟΓΙΟ ΧΡΩΜΑΤΩΝ</t>
  </si>
  <si>
    <t>Μπλε κείμενο</t>
  </si>
  <si>
    <t>Πεδία εισαγωγής — εδώ εισάγετε δεδομένα από τα φορολογικά έντυπα</t>
  </si>
  <si>
    <t>Γκρι φόντο</t>
  </si>
  <si>
    <t>Υπολογισμένες τιμές — δεν απαιτούν επέμβαση</t>
  </si>
  <si>
    <t>Κίτρινο φόντο</t>
  </si>
  <si>
    <t>Ενδιάμεσα αθροίσματα / penalties — σημαντικά σημεία ελέγχου</t>
  </si>
  <si>
    <t>Πράσινο φόντο</t>
  </si>
  <si>
    <t>Τελικό credit limit — το αποτέλεσμα της φόρμουλας</t>
  </si>
  <si>
    <t>50% flat</t>
  </si>
  <si>
    <t>45% flat</t>
  </si>
  <si>
    <t>0%→30%→33%→35%→38%→40%→45%→50%</t>
  </si>
  <si>
    <t xml:space="preserve">  └ ΦΠΑ Bonus  (≥70%: +10% | 50-70%: +5% | &lt;50%: 0%)</t>
  </si>
  <si>
    <t xml:space="preserve">  └ Προσαρμογή εμπορευμάτων  (20% αν ζημιά | 10% αν κέρδος)</t>
  </si>
  <si>
    <t>Σύνολο εσόδων που φαίνονται στις δηλώσεις ΦΠΑ  (ετήσιο)</t>
  </si>
  <si>
    <t>Άλλες πηγές εσόδων ιδιώτη (Ε1)</t>
  </si>
  <si>
    <t>Σύνολο καθαρών (Ε3 + Ε1)</t>
  </si>
  <si>
    <t>Μήνες αναφοράς ενοικίου κύριας κατοικίας</t>
  </si>
  <si>
    <t>Αποπληρωμή δανείων</t>
  </si>
  <si>
    <t xml:space="preserve">  └ Ετήσιο Κόστος Ενοικίων</t>
  </si>
  <si>
    <t>Κωδ. 811/813/815</t>
  </si>
  <si>
    <t>Κωδ. 817/819/821</t>
  </si>
  <si>
    <t>Κωδ. 097/098/099</t>
  </si>
  <si>
    <t>Κωδ.419/421</t>
  </si>
  <si>
    <t>Κωδ. 419/421</t>
  </si>
  <si>
    <t xml:space="preserve">  └ Ετήσιος Μισθός</t>
  </si>
  <si>
    <t>Μισθοί / ημερομίσθια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</si>
</sst>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;\-"/>
    <numFmt numFmtId="165" formatCode="0.0%;\(0.0%\);\-"/>
    <numFmt numFmtId="166" formatCode="#,##0;\(#,##0\);\-"/>
    <numFmt numFmtId="167" formatCode="\€#,##0.0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FF"/>
      <name val="Arial"/>
      <charset val="1"/>
    </font>
    <font>
      <i/>
      <sz val="8"/>
      <color rgb="FF595959"/>
      <name val="Arial"/>
      <charset val="1"/>
    </font>
    <font>
      <b/>
      <sz val="10"/>
      <color rgb="FF7F6000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i/>
      <sz val="8"/>
      <color rgb="FF595959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CCCCCC"/>
      </patternFill>
    </fill>
    <fill>
      <patternFill patternType="solid">
        <fgColor rgb="FFD9D9D9"/>
        <bgColor rgb="FFCCCCCC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2F2F2"/>
      </patternFill>
    </fill>
    <fill>
      <patternFill patternType="solid">
        <fgColor rgb="FF1F8B4C"/>
        <bgColor rgb="FF00808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164" fontId="4" fillId="7" borderId="2" xfId="0" applyNumberFormat="1" applyFont="1" applyFill="1" applyBorder="1" applyAlignment="1">
      <alignment horizontal="right" vertical="center" wrapText="1"/>
    </xf>
    <xf numFmtId="165" fontId="4" fillId="6" borderId="2" xfId="0" applyNumberFormat="1" applyFont="1" applyFill="1" applyBorder="1" applyAlignment="1">
      <alignment horizontal="right" vertical="center" wrapText="1"/>
    </xf>
    <xf numFmtId="166" fontId="5" fillId="5" borderId="2" xfId="0" applyNumberFormat="1" applyFont="1" applyFill="1" applyBorder="1" applyAlignment="1">
      <alignment horizontal="right" vertical="center" wrapText="1"/>
    </xf>
    <xf numFmtId="0" fontId="1" fillId="8" borderId="2" xfId="0" applyFont="1" applyFill="1" applyBorder="1" applyAlignment="1">
      <alignment horizontal="left" vertical="center" wrapText="1"/>
    </xf>
    <xf numFmtId="167" fontId="8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3" fillId="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2" fontId="4" fillId="6" borderId="2" xfId="0" applyNumberFormat="1" applyFont="1" applyFill="1" applyBorder="1" applyAlignment="1">
      <alignment horizontal="right" vertical="center" wrapText="1"/>
    </xf>
    <xf numFmtId="0" fontId="16" fillId="0" borderId="2" xfId="0" applyFont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1F8B4C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46" customWidth="1"/>
    <col min="2" max="2" width="17" customWidth="1"/>
    <col min="3" max="3" width="34" customWidth="1"/>
  </cols>
  <sheetData>
    <row r="1" spans="1:3" ht="24" customHeight="1" x14ac:dyDescent="0.3">
      <c r="A1" s="27" t="s">
        <v>0</v>
      </c>
      <c r="B1" s="27"/>
      <c r="C1" s="27"/>
    </row>
    <row r="2" spans="1:3" ht="6" customHeight="1" x14ac:dyDescent="0.3"/>
    <row r="3" spans="1:3" ht="16.5" customHeight="1" x14ac:dyDescent="0.3">
      <c r="A3" s="28" t="s">
        <v>1</v>
      </c>
      <c r="B3" s="28"/>
      <c r="C3" s="28"/>
    </row>
    <row r="4" spans="1:3" ht="15" customHeight="1" x14ac:dyDescent="0.3">
      <c r="A4" s="1" t="s">
        <v>2</v>
      </c>
      <c r="B4" s="2" t="s">
        <v>3</v>
      </c>
      <c r="C4" s="1" t="s">
        <v>4</v>
      </c>
    </row>
    <row r="5" spans="1:3" ht="15" customHeight="1" x14ac:dyDescent="0.3">
      <c r="A5" s="3" t="s">
        <v>229</v>
      </c>
      <c r="B5" s="4">
        <v>100000</v>
      </c>
      <c r="C5" s="5"/>
    </row>
    <row r="6" spans="1:3" ht="15" customHeight="1" x14ac:dyDescent="0.3">
      <c r="A6" s="24" t="s">
        <v>228</v>
      </c>
      <c r="B6" s="4">
        <f>B5*14</f>
        <v>1400000</v>
      </c>
      <c r="C6" s="5"/>
    </row>
    <row r="7" spans="1:3" ht="15" customHeight="1" x14ac:dyDescent="0.3">
      <c r="A7" s="3" t="s">
        <v>5</v>
      </c>
      <c r="B7" s="4">
        <v>0</v>
      </c>
      <c r="C7" s="5" t="s">
        <v>6</v>
      </c>
    </row>
    <row r="8" spans="1:3" ht="15" customHeight="1" x14ac:dyDescent="0.3">
      <c r="A8" s="3" t="s">
        <v>7</v>
      </c>
      <c r="B8" s="4">
        <v>0</v>
      </c>
      <c r="C8" s="5" t="s">
        <v>8</v>
      </c>
    </row>
    <row r="9" spans="1:3" ht="15" customHeight="1" x14ac:dyDescent="0.3">
      <c r="A9" s="3" t="s">
        <v>9</v>
      </c>
      <c r="B9" s="4">
        <v>0</v>
      </c>
      <c r="C9" s="5" t="s">
        <v>10</v>
      </c>
    </row>
    <row r="10" spans="1:3" ht="15" customHeight="1" x14ac:dyDescent="0.3">
      <c r="A10" s="3" t="s">
        <v>11</v>
      </c>
      <c r="B10" s="4">
        <v>0</v>
      </c>
      <c r="C10" s="5" t="s">
        <v>12</v>
      </c>
    </row>
    <row r="11" spans="1:3" ht="15" customHeight="1" x14ac:dyDescent="0.3">
      <c r="A11" s="3" t="s">
        <v>13</v>
      </c>
      <c r="B11" s="4">
        <v>0</v>
      </c>
      <c r="C11" s="5" t="s">
        <v>14</v>
      </c>
    </row>
    <row r="12" spans="1:3" ht="15" customHeight="1" x14ac:dyDescent="0.3">
      <c r="A12" s="3" t="s">
        <v>15</v>
      </c>
      <c r="B12" s="4">
        <v>0</v>
      </c>
      <c r="C12" s="5" t="s">
        <v>16</v>
      </c>
    </row>
    <row r="13" spans="1:3" ht="15" customHeight="1" x14ac:dyDescent="0.3">
      <c r="A13" s="3" t="s">
        <v>17</v>
      </c>
      <c r="B13" s="4">
        <v>0</v>
      </c>
      <c r="C13" s="5" t="s">
        <v>18</v>
      </c>
    </row>
    <row r="14" spans="1:3" ht="15" customHeight="1" x14ac:dyDescent="0.3">
      <c r="A14" s="3" t="s">
        <v>19</v>
      </c>
      <c r="B14" s="4">
        <v>0</v>
      </c>
      <c r="C14" s="5" t="s">
        <v>20</v>
      </c>
    </row>
    <row r="15" spans="1:3" ht="15" customHeight="1" x14ac:dyDescent="0.3">
      <c r="A15" s="3" t="s">
        <v>21</v>
      </c>
      <c r="B15" s="4">
        <v>0</v>
      </c>
      <c r="C15" s="5" t="s">
        <v>22</v>
      </c>
    </row>
    <row r="16" spans="1:3" ht="15" customHeight="1" x14ac:dyDescent="0.3">
      <c r="A16" s="3" t="s">
        <v>23</v>
      </c>
      <c r="B16" s="4">
        <v>0</v>
      </c>
      <c r="C16" s="5" t="s">
        <v>24</v>
      </c>
    </row>
    <row r="17" spans="1:3" ht="6" customHeight="1" x14ac:dyDescent="0.3"/>
    <row r="18" spans="1:3" ht="16.5" customHeight="1" x14ac:dyDescent="0.3">
      <c r="A18" s="28" t="s">
        <v>25</v>
      </c>
      <c r="B18" s="28"/>
      <c r="C18" s="28"/>
    </row>
    <row r="19" spans="1:3" ht="15" customHeight="1" x14ac:dyDescent="0.3">
      <c r="A19" s="1" t="s">
        <v>2</v>
      </c>
      <c r="B19" s="2" t="s">
        <v>3</v>
      </c>
      <c r="C19" s="1" t="s">
        <v>4</v>
      </c>
    </row>
    <row r="20" spans="1:3" ht="15" customHeight="1" x14ac:dyDescent="0.3">
      <c r="A20" s="3" t="s">
        <v>26</v>
      </c>
      <c r="B20" s="4">
        <v>15000</v>
      </c>
      <c r="C20" s="5" t="s">
        <v>27</v>
      </c>
    </row>
    <row r="21" spans="1:3" ht="15" customHeight="1" x14ac:dyDescent="0.3">
      <c r="A21" s="3" t="s">
        <v>28</v>
      </c>
      <c r="B21" s="6">
        <f>B20*0.2</f>
        <v>3000</v>
      </c>
      <c r="C21" s="5" t="s">
        <v>29</v>
      </c>
    </row>
    <row r="22" spans="1:3" ht="6" customHeight="1" x14ac:dyDescent="0.3"/>
    <row r="23" spans="1:3" ht="15" customHeight="1" x14ac:dyDescent="0.3">
      <c r="A23" s="7" t="s">
        <v>30</v>
      </c>
      <c r="B23" s="8">
        <f>B6+B7+B8+B9+B10+B11+B12+B13+B14+B15+B16+B21</f>
        <v>1403000</v>
      </c>
    </row>
    <row r="24" spans="1:3" ht="12" customHeight="1" x14ac:dyDescent="0.3"/>
    <row r="25" spans="1:3" ht="16.5" customHeight="1" x14ac:dyDescent="0.3">
      <c r="A25" s="28" t="s">
        <v>31</v>
      </c>
      <c r="B25" s="28"/>
      <c r="C25" s="28"/>
    </row>
    <row r="26" spans="1:3" ht="15" customHeight="1" x14ac:dyDescent="0.3">
      <c r="A26" s="1" t="s">
        <v>2</v>
      </c>
      <c r="B26" s="2" t="s">
        <v>3</v>
      </c>
      <c r="C26" s="1" t="s">
        <v>4</v>
      </c>
    </row>
    <row r="27" spans="1:3" ht="15" customHeight="1" x14ac:dyDescent="0.3">
      <c r="A27" s="24" t="s">
        <v>221</v>
      </c>
      <c r="B27" s="4">
        <v>5000</v>
      </c>
      <c r="C27" s="5" t="s">
        <v>32</v>
      </c>
    </row>
    <row r="28" spans="1:3" ht="15" customHeight="1" x14ac:dyDescent="0.3">
      <c r="A28" s="3" t="s">
        <v>33</v>
      </c>
      <c r="B28" s="4">
        <v>10000</v>
      </c>
      <c r="C28" s="5" t="s">
        <v>223</v>
      </c>
    </row>
    <row r="29" spans="1:3" ht="15" customHeight="1" x14ac:dyDescent="0.3">
      <c r="A29" s="24" t="s">
        <v>220</v>
      </c>
      <c r="B29" s="25">
        <v>10</v>
      </c>
      <c r="C29" s="21" t="s">
        <v>225</v>
      </c>
    </row>
    <row r="30" spans="1:3" ht="15" customHeight="1" x14ac:dyDescent="0.3">
      <c r="A30" s="24" t="s">
        <v>34</v>
      </c>
      <c r="B30" s="4">
        <v>12000</v>
      </c>
      <c r="C30" s="5" t="s">
        <v>224</v>
      </c>
    </row>
    <row r="31" spans="1:3" ht="15" customHeight="1" x14ac:dyDescent="0.3">
      <c r="A31" s="24" t="s">
        <v>35</v>
      </c>
      <c r="B31" s="4">
        <v>12000</v>
      </c>
      <c r="C31" s="5" t="s">
        <v>227</v>
      </c>
    </row>
    <row r="32" spans="1:3" ht="15" customHeight="1" x14ac:dyDescent="0.3">
      <c r="A32" s="24" t="s">
        <v>222</v>
      </c>
      <c r="B32" s="23">
        <f>(B28/B29)*12+B30+B31</f>
        <v>36000</v>
      </c>
      <c r="C32" s="5"/>
    </row>
    <row r="33" spans="1:3" ht="15" customHeight="1" x14ac:dyDescent="0.3">
      <c r="A33" s="3" t="s">
        <v>36</v>
      </c>
      <c r="B33" s="25">
        <v>2</v>
      </c>
      <c r="C33" s="5" t="s">
        <v>37</v>
      </c>
    </row>
    <row r="34" spans="1:3" ht="15" customHeight="1" x14ac:dyDescent="0.3">
      <c r="A34" s="3" t="s">
        <v>38</v>
      </c>
      <c r="B34" s="6">
        <f>(B33*200)*12</f>
        <v>4800</v>
      </c>
    </row>
    <row r="35" spans="1:3" ht="15" customHeight="1" x14ac:dyDescent="0.3">
      <c r="A35" s="3" t="s">
        <v>39</v>
      </c>
      <c r="B35" s="4">
        <v>10000</v>
      </c>
      <c r="C35" s="5" t="s">
        <v>40</v>
      </c>
    </row>
    <row r="36" spans="1:3" ht="15" customHeight="1" x14ac:dyDescent="0.3">
      <c r="A36" s="3" t="s">
        <v>41</v>
      </c>
      <c r="B36" s="4">
        <v>5000</v>
      </c>
      <c r="C36" s="5" t="s">
        <v>42</v>
      </c>
    </row>
    <row r="37" spans="1:3" ht="6" customHeight="1" x14ac:dyDescent="0.3"/>
    <row r="38" spans="1:3" ht="15" customHeight="1" x14ac:dyDescent="0.3">
      <c r="A38" s="7" t="s">
        <v>43</v>
      </c>
      <c r="B38" s="8">
        <f>B27+B32+B34+B35+B36</f>
        <v>60800</v>
      </c>
    </row>
    <row r="39" spans="1:3" ht="15" customHeight="1" x14ac:dyDescent="0.3"/>
    <row r="40" spans="1:3" ht="16.5" customHeight="1" x14ac:dyDescent="0.3">
      <c r="A40" s="28" t="s">
        <v>44</v>
      </c>
      <c r="B40" s="28"/>
      <c r="C40" s="28"/>
    </row>
    <row r="41" spans="1:3" ht="15" customHeight="1" x14ac:dyDescent="0.3">
      <c r="A41" s="1" t="s">
        <v>2</v>
      </c>
      <c r="B41" s="2" t="s">
        <v>3</v>
      </c>
      <c r="C41" s="1" t="s">
        <v>4</v>
      </c>
    </row>
    <row r="42" spans="1:3" ht="15" customHeight="1" x14ac:dyDescent="0.3">
      <c r="A42" s="3" t="s">
        <v>45</v>
      </c>
      <c r="B42" s="6">
        <f>(B23-B38) / 12</f>
        <v>111850</v>
      </c>
      <c r="C42" s="5" t="s">
        <v>46</v>
      </c>
    </row>
    <row r="43" spans="1:3" ht="26.25" customHeight="1" x14ac:dyDescent="0.3">
      <c r="A43" s="3" t="s">
        <v>47</v>
      </c>
      <c r="B43" s="9">
        <f>IF(B42&lt;=0,0,IF(B42&lt;=600,0,IF(B42&lt;=1000,0.3,IF(B42&lt;=1500,0.33,IF(B42&lt;=2000,0.35,IF(B42&lt;=3000,0.38,IF(B42&lt;=5000,0.4,IF(B42&lt;=10000,0.45,0.5))))))))</f>
        <v>0.5</v>
      </c>
      <c r="C43" s="5" t="s">
        <v>214</v>
      </c>
    </row>
    <row r="44" spans="1:3" ht="29.25" customHeight="1" x14ac:dyDescent="0.3">
      <c r="A44" s="3" t="s">
        <v>48</v>
      </c>
      <c r="B44" s="10">
        <v>0</v>
      </c>
      <c r="C44" s="5" t="s">
        <v>49</v>
      </c>
    </row>
    <row r="45" spans="1:3" ht="29.25" customHeight="1" x14ac:dyDescent="0.3">
      <c r="A45" s="3" t="s">
        <v>50</v>
      </c>
      <c r="B45" s="9">
        <f>IF(B42&gt;60000,0,B44*0.05)</f>
        <v>0</v>
      </c>
      <c r="C45" s="5" t="s">
        <v>51</v>
      </c>
    </row>
    <row r="46" spans="1:3" ht="15" customHeight="1" x14ac:dyDescent="0.3">
      <c r="A46" s="3" t="s">
        <v>52</v>
      </c>
      <c r="B46" s="9">
        <f>B43+B45</f>
        <v>0.5</v>
      </c>
    </row>
    <row r="47" spans="1:3" ht="15" customHeight="1" x14ac:dyDescent="0.3">
      <c r="A47" s="3" t="s">
        <v>53</v>
      </c>
      <c r="B47" s="6">
        <f>IF(B42&lt;=600,0,B42*B46)</f>
        <v>55925</v>
      </c>
    </row>
    <row r="48" spans="1:3" ht="15" customHeight="1" x14ac:dyDescent="0.3">
      <c r="A48" s="3" t="s">
        <v>54</v>
      </c>
      <c r="B48" s="4"/>
      <c r="C48" s="5" t="s">
        <v>55</v>
      </c>
    </row>
    <row r="49" spans="1:3" ht="15" customHeight="1" x14ac:dyDescent="0.3">
      <c r="A49" s="3" t="s">
        <v>56</v>
      </c>
      <c r="B49" s="8">
        <f>IF(B48=0,0,IF(B48&lt;=500,IF(B44=0,B47*0.15,0),IF(B48&lt;=1000,IF(B44=0,B47*0.2,IF(B44=1,B47*0.15,IF(B44=2,B47*0.1,B47*0.05))),IF(B48&lt;=3000,IF(B44=0,B47*0.5,IF(B44=1,B47*0.4,IF(B44=2,B47*0.3,B47*0.2))),B47*1))))</f>
        <v>0</v>
      </c>
    </row>
    <row r="50" spans="1:3" ht="12" customHeight="1" x14ac:dyDescent="0.3"/>
    <row r="51" spans="1:3" ht="21.75" customHeight="1" x14ac:dyDescent="0.3">
      <c r="A51" s="26" t="s">
        <v>57</v>
      </c>
      <c r="B51" s="26"/>
      <c r="C51" s="26"/>
    </row>
    <row r="52" spans="1:3" ht="24" customHeight="1" x14ac:dyDescent="0.3">
      <c r="A52" s="11" t="s">
        <v>58</v>
      </c>
      <c r="B52" s="12">
        <f>MROUND(MAX(0,B47-B49),10)</f>
        <v>55930</v>
      </c>
      <c r="C52" s="13" t="s">
        <v>59</v>
      </c>
    </row>
  </sheetData>
  <mergeCells count="6">
    <mergeCell ref="A51:C51"/>
    <mergeCell ref="A1:C1"/>
    <mergeCell ref="A3:C3"/>
    <mergeCell ref="A18:C18"/>
    <mergeCell ref="A25:C25"/>
    <mergeCell ref="A40:C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opLeftCell="A11" zoomScaleNormal="100" workbookViewId="0">
      <selection activeCell="I28" sqref="I28"/>
    </sheetView>
  </sheetViews>
  <sheetFormatPr defaultColWidth="8.6640625" defaultRowHeight="14.4" x14ac:dyDescent="0.3"/>
  <cols>
    <col min="1" max="1" width="46" customWidth="1"/>
    <col min="2" max="2" width="17" customWidth="1"/>
    <col min="3" max="3" width="34" customWidth="1"/>
  </cols>
  <sheetData>
    <row r="1" spans="1:3" ht="24" customHeight="1" x14ac:dyDescent="0.3">
      <c r="A1" s="27" t="s">
        <v>60</v>
      </c>
      <c r="B1" s="27"/>
      <c r="C1" s="27"/>
    </row>
    <row r="2" spans="1:3" ht="6" customHeight="1" x14ac:dyDescent="0.3"/>
    <row r="3" spans="1:3" ht="16.5" customHeight="1" x14ac:dyDescent="0.3">
      <c r="A3" s="28" t="s">
        <v>61</v>
      </c>
      <c r="B3" s="28"/>
      <c r="C3" s="28"/>
    </row>
    <row r="4" spans="1:3" ht="15" customHeight="1" x14ac:dyDescent="0.3">
      <c r="A4" s="1" t="s">
        <v>2</v>
      </c>
      <c r="B4" s="2" t="s">
        <v>3</v>
      </c>
      <c r="C4" s="1" t="s">
        <v>4</v>
      </c>
    </row>
    <row r="5" spans="1:3" ht="15" customHeight="1" x14ac:dyDescent="0.3">
      <c r="A5" s="3" t="s">
        <v>62</v>
      </c>
      <c r="B5" s="4">
        <v>29500</v>
      </c>
      <c r="C5" s="5" t="s">
        <v>63</v>
      </c>
    </row>
    <row r="6" spans="1:3" ht="15" customHeight="1" x14ac:dyDescent="0.3">
      <c r="A6" s="3" t="s">
        <v>64</v>
      </c>
      <c r="B6" s="4">
        <v>12000</v>
      </c>
      <c r="C6" s="5" t="s">
        <v>65</v>
      </c>
    </row>
    <row r="7" spans="1:3" ht="15" customHeight="1" x14ac:dyDescent="0.3">
      <c r="A7" s="3" t="s">
        <v>66</v>
      </c>
      <c r="B7" s="4">
        <v>0</v>
      </c>
      <c r="C7" s="5" t="s">
        <v>67</v>
      </c>
    </row>
    <row r="8" spans="1:3" ht="15" customHeight="1" x14ac:dyDescent="0.3">
      <c r="A8" s="3" t="s">
        <v>218</v>
      </c>
      <c r="B8" s="4">
        <v>25000</v>
      </c>
      <c r="C8" s="5"/>
    </row>
    <row r="9" spans="1:3" ht="15" customHeight="1" x14ac:dyDescent="0.3">
      <c r="A9" s="22" t="s">
        <v>219</v>
      </c>
      <c r="B9" s="23">
        <f>B6+B8</f>
        <v>37000</v>
      </c>
    </row>
    <row r="10" spans="1:3" ht="24.75" customHeight="1" x14ac:dyDescent="0.3">
      <c r="A10" s="3" t="s">
        <v>216</v>
      </c>
      <c r="B10" s="6">
        <f>IF(B6&lt;0,B7*0.2,B7*0.1)</f>
        <v>0</v>
      </c>
      <c r="C10" s="5" t="s">
        <v>68</v>
      </c>
    </row>
    <row r="11" spans="1:3" ht="9" customHeight="1" x14ac:dyDescent="0.3"/>
    <row r="12" spans="1:3" ht="16.5" customHeight="1" x14ac:dyDescent="0.3">
      <c r="A12" s="28" t="s">
        <v>69</v>
      </c>
      <c r="B12" s="28"/>
      <c r="C12" s="28"/>
    </row>
    <row r="13" spans="1:3" ht="15" customHeight="1" x14ac:dyDescent="0.3">
      <c r="A13" s="1" t="s">
        <v>2</v>
      </c>
      <c r="B13" s="2" t="s">
        <v>3</v>
      </c>
      <c r="C13" s="1" t="s">
        <v>4</v>
      </c>
    </row>
    <row r="14" spans="1:3" ht="15" customHeight="1" x14ac:dyDescent="0.3">
      <c r="A14" s="3" t="s">
        <v>217</v>
      </c>
      <c r="B14" s="4">
        <v>31000</v>
      </c>
      <c r="C14" s="5" t="s">
        <v>71</v>
      </c>
    </row>
    <row r="15" spans="1:3" ht="15" customHeight="1" x14ac:dyDescent="0.3">
      <c r="A15" s="3" t="s">
        <v>72</v>
      </c>
      <c r="B15" s="9">
        <f>IF(B5=0,0,B14/B5)</f>
        <v>1.0508474576271187</v>
      </c>
      <c r="C15" s="5" t="s">
        <v>73</v>
      </c>
    </row>
    <row r="16" spans="1:3" ht="28.5" customHeight="1" x14ac:dyDescent="0.3">
      <c r="A16" s="3" t="s">
        <v>215</v>
      </c>
      <c r="B16" s="9">
        <f>IF(B15&gt;=0.7,0.1,IF(B15&gt;=0.5,0.05,0))</f>
        <v>0.1</v>
      </c>
      <c r="C16" s="5" t="s">
        <v>74</v>
      </c>
    </row>
    <row r="17" spans="1:3" ht="6" customHeight="1" x14ac:dyDescent="0.3"/>
    <row r="18" spans="1:3" ht="16.5" customHeight="1" x14ac:dyDescent="0.3">
      <c r="A18" s="28" t="s">
        <v>75</v>
      </c>
      <c r="B18" s="28"/>
      <c r="C18" s="28"/>
    </row>
    <row r="19" spans="1:3" ht="15" customHeight="1" x14ac:dyDescent="0.3">
      <c r="A19" s="1" t="s">
        <v>2</v>
      </c>
      <c r="B19" s="2" t="s">
        <v>3</v>
      </c>
      <c r="C19" s="1" t="s">
        <v>4</v>
      </c>
    </row>
    <row r="20" spans="1:3" ht="31.95" customHeight="1" x14ac:dyDescent="0.3">
      <c r="A20" s="3" t="s">
        <v>76</v>
      </c>
      <c r="B20" s="6">
        <f>B5*0.12</f>
        <v>3540</v>
      </c>
      <c r="C20" s="5" t="s">
        <v>77</v>
      </c>
    </row>
    <row r="21" spans="1:3" ht="23.25" customHeight="1" x14ac:dyDescent="0.3">
      <c r="A21" s="3" t="s">
        <v>78</v>
      </c>
      <c r="B21" s="6">
        <f>MAX(B9+B10,B20)</f>
        <v>37000</v>
      </c>
      <c r="C21" s="5" t="s">
        <v>79</v>
      </c>
    </row>
    <row r="22" spans="1:3" ht="15" customHeight="1" x14ac:dyDescent="0.3">
      <c r="A22" s="3" t="s">
        <v>80</v>
      </c>
      <c r="B22" s="6">
        <f>B21*(1+B16)</f>
        <v>40700</v>
      </c>
    </row>
    <row r="23" spans="1:3" ht="15" customHeight="1" x14ac:dyDescent="0.3">
      <c r="A23" s="7" t="s">
        <v>81</v>
      </c>
      <c r="B23" s="8">
        <f>B22/12</f>
        <v>3391.6666666666665</v>
      </c>
    </row>
    <row r="24" spans="1:3" ht="6" customHeight="1" x14ac:dyDescent="0.3"/>
    <row r="25" spans="1:3" x14ac:dyDescent="0.3">
      <c r="A25" s="28" t="s">
        <v>31</v>
      </c>
      <c r="B25" s="28"/>
      <c r="C25" s="28"/>
    </row>
    <row r="26" spans="1:3" x14ac:dyDescent="0.3">
      <c r="A26" s="1" t="s">
        <v>2</v>
      </c>
      <c r="B26" s="2" t="s">
        <v>3</v>
      </c>
      <c r="C26" s="1" t="s">
        <v>4</v>
      </c>
    </row>
    <row r="27" spans="1:3" x14ac:dyDescent="0.3">
      <c r="A27" s="24" t="s">
        <v>221</v>
      </c>
      <c r="B27" s="4">
        <v>5000</v>
      </c>
      <c r="C27" s="5" t="s">
        <v>32</v>
      </c>
    </row>
    <row r="28" spans="1:3" x14ac:dyDescent="0.3">
      <c r="A28" s="3" t="s">
        <v>33</v>
      </c>
      <c r="B28" s="4">
        <v>10000</v>
      </c>
      <c r="C28" s="5" t="s">
        <v>223</v>
      </c>
    </row>
    <row r="29" spans="1:3" x14ac:dyDescent="0.3">
      <c r="A29" s="24" t="s">
        <v>220</v>
      </c>
      <c r="B29" s="25">
        <v>10</v>
      </c>
      <c r="C29" s="21" t="s">
        <v>225</v>
      </c>
    </row>
    <row r="30" spans="1:3" x14ac:dyDescent="0.3">
      <c r="A30" s="24" t="s">
        <v>34</v>
      </c>
      <c r="B30" s="4">
        <v>12000</v>
      </c>
      <c r="C30" s="5" t="s">
        <v>224</v>
      </c>
    </row>
    <row r="31" spans="1:3" x14ac:dyDescent="0.3">
      <c r="A31" s="24" t="s">
        <v>35</v>
      </c>
      <c r="B31" s="4">
        <v>12000</v>
      </c>
      <c r="C31" s="5" t="s">
        <v>226</v>
      </c>
    </row>
    <row r="32" spans="1:3" x14ac:dyDescent="0.3">
      <c r="A32" s="24" t="s">
        <v>222</v>
      </c>
      <c r="B32" s="23">
        <f>(B28/B29)*12+B30+B31</f>
        <v>36000</v>
      </c>
      <c r="C32" s="5"/>
    </row>
    <row r="33" spans="1:3" x14ac:dyDescent="0.3">
      <c r="A33" s="3" t="s">
        <v>36</v>
      </c>
      <c r="B33" s="25">
        <v>2</v>
      </c>
      <c r="C33" s="5" t="s">
        <v>37</v>
      </c>
    </row>
    <row r="34" spans="1:3" x14ac:dyDescent="0.3">
      <c r="A34" s="3" t="s">
        <v>38</v>
      </c>
      <c r="B34" s="6">
        <f>(B33*200)*12</f>
        <v>4800</v>
      </c>
    </row>
    <row r="35" spans="1:3" x14ac:dyDescent="0.3">
      <c r="A35" s="3" t="s">
        <v>39</v>
      </c>
      <c r="B35" s="4">
        <v>10000</v>
      </c>
      <c r="C35" s="5" t="s">
        <v>40</v>
      </c>
    </row>
    <row r="36" spans="1:3" x14ac:dyDescent="0.3">
      <c r="A36" s="3" t="s">
        <v>41</v>
      </c>
      <c r="B36" s="4">
        <v>5000</v>
      </c>
      <c r="C36" s="5" t="s">
        <v>42</v>
      </c>
    </row>
    <row r="38" spans="1:3" x14ac:dyDescent="0.3">
      <c r="A38" s="7" t="s">
        <v>43</v>
      </c>
      <c r="B38" s="8">
        <f>B27+B32+B34+B35+B36</f>
        <v>60800</v>
      </c>
    </row>
    <row r="39" spans="1:3" ht="6" customHeight="1" x14ac:dyDescent="0.3"/>
    <row r="40" spans="1:3" ht="16.5" customHeight="1" x14ac:dyDescent="0.3">
      <c r="A40" s="28" t="s">
        <v>44</v>
      </c>
      <c r="B40" s="28"/>
      <c r="C40" s="28"/>
    </row>
    <row r="41" spans="1:3" ht="15" customHeight="1" x14ac:dyDescent="0.3">
      <c r="A41" s="1" t="s">
        <v>2</v>
      </c>
      <c r="B41" s="2" t="s">
        <v>3</v>
      </c>
      <c r="C41" s="1" t="s">
        <v>4</v>
      </c>
    </row>
    <row r="42" spans="1:3" ht="15" customHeight="1" x14ac:dyDescent="0.3">
      <c r="A42" s="3" t="s">
        <v>82</v>
      </c>
      <c r="B42" s="6">
        <f>B23-B38</f>
        <v>-57408.333333333336</v>
      </c>
    </row>
    <row r="43" spans="1:3" ht="15" customHeight="1" x14ac:dyDescent="0.3">
      <c r="A43" s="3" t="s">
        <v>47</v>
      </c>
      <c r="B43" s="9">
        <f>IF(B42&lt;=0,0,IF(B42&lt;=600,0,IF(B42&lt;=1000,0.3,IF(B42&lt;=1500,0.33,IF(B42&lt;=2000,0.35,IF(B42&lt;=3000,0.38,IF(B42&lt;=5000,0.4,IF(B42&lt;=10000,0.45,0.5))))))))</f>
        <v>0</v>
      </c>
    </row>
    <row r="44" spans="1:3" ht="27" customHeight="1" x14ac:dyDescent="0.3">
      <c r="A44" s="3" t="s">
        <v>48</v>
      </c>
      <c r="B44" s="10">
        <v>0</v>
      </c>
      <c r="C44" s="5" t="s">
        <v>49</v>
      </c>
    </row>
    <row r="45" spans="1:3" ht="15" customHeight="1" x14ac:dyDescent="0.3">
      <c r="A45" s="3" t="s">
        <v>83</v>
      </c>
      <c r="B45" s="9">
        <f>IF(B42&gt;5000,0,B44*0.05)</f>
        <v>0</v>
      </c>
    </row>
    <row r="46" spans="1:3" ht="15" customHeight="1" x14ac:dyDescent="0.3">
      <c r="A46" s="3" t="s">
        <v>84</v>
      </c>
      <c r="B46" s="9">
        <f>B43+B45</f>
        <v>0</v>
      </c>
    </row>
    <row r="47" spans="1:3" ht="15" customHeight="1" x14ac:dyDescent="0.3">
      <c r="A47" s="3" t="s">
        <v>53</v>
      </c>
      <c r="B47" s="6">
        <f>IF(B42&lt;=600,0,B42*B46)</f>
        <v>0</v>
      </c>
    </row>
    <row r="48" spans="1:3" ht="15" customHeight="1" x14ac:dyDescent="0.3">
      <c r="A48" s="3" t="s">
        <v>54</v>
      </c>
      <c r="B48" s="4">
        <v>0</v>
      </c>
      <c r="C48" s="5" t="s">
        <v>55</v>
      </c>
    </row>
    <row r="49" spans="1:3" ht="15" customHeight="1" x14ac:dyDescent="0.3">
      <c r="A49" s="3" t="s">
        <v>56</v>
      </c>
      <c r="B49" s="8">
        <f>IF(B48=0,0,IF(B48&lt;=500,IF(B44=0,B47*0.15,0),IF(B48&lt;=1000,IF(B44=0,B47*0.2,IF(B44=1,B47*0.15,IF(B44=2,B47*0.1,B47*0.05))),IF(B48&lt;=3000,IF(B44=0,B47*0.5,IF(B44=1,B47*0.4,IF(B44=2,B47*0.3,B47*0.2))),B47*1))))</f>
        <v>0</v>
      </c>
    </row>
    <row r="50" spans="1:3" ht="23.25" customHeight="1" x14ac:dyDescent="0.3">
      <c r="A50" s="3" t="s">
        <v>85</v>
      </c>
      <c r="B50" s="8">
        <f>IF(OR(B5=0,B6&gt;=0),0,IF(ABS(B6)/B5&lt;=0.05,0,IF(ABS(B6)/B5&lt;=0.1,B47*0.1,IF(ABS(B6)/B5&lt;=0.2,B47*0.15,B47*0.2))))</f>
        <v>0</v>
      </c>
      <c r="C50" s="5" t="s">
        <v>86</v>
      </c>
    </row>
    <row r="51" spans="1:3" ht="6" customHeight="1" x14ac:dyDescent="0.3"/>
    <row r="52" spans="1:3" ht="21.75" customHeight="1" x14ac:dyDescent="0.3">
      <c r="A52" s="26" t="s">
        <v>57</v>
      </c>
      <c r="B52" s="26"/>
      <c r="C52" s="26"/>
    </row>
    <row r="53" spans="1:3" ht="24" customHeight="1" x14ac:dyDescent="0.3">
      <c r="A53" s="11" t="s">
        <v>58</v>
      </c>
      <c r="B53" s="12">
        <f>MROUND(MAX(0,B47-B49-B50),10)</f>
        <v>0</v>
      </c>
      <c r="C53" s="13" t="s">
        <v>59</v>
      </c>
    </row>
  </sheetData>
  <mergeCells count="7">
    <mergeCell ref="A40:C40"/>
    <mergeCell ref="A52:C52"/>
    <mergeCell ref="A1:C1"/>
    <mergeCell ref="A3:C3"/>
    <mergeCell ref="A12:C12"/>
    <mergeCell ref="A18:C18"/>
    <mergeCell ref="A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46" customWidth="1"/>
    <col min="2" max="2" width="17" customWidth="1"/>
    <col min="3" max="3" width="34" customWidth="1"/>
  </cols>
  <sheetData>
    <row r="1" spans="1:3" ht="24" customHeight="1" x14ac:dyDescent="0.3">
      <c r="A1" s="27" t="s">
        <v>87</v>
      </c>
      <c r="B1" s="27"/>
      <c r="C1" s="27"/>
    </row>
    <row r="2" spans="1:3" ht="6" customHeight="1" x14ac:dyDescent="0.3"/>
    <row r="3" spans="1:3" ht="16.5" customHeight="1" x14ac:dyDescent="0.3">
      <c r="A3" s="28" t="s">
        <v>88</v>
      </c>
      <c r="B3" s="28"/>
      <c r="C3" s="28"/>
    </row>
    <row r="4" spans="1:3" ht="15" customHeight="1" x14ac:dyDescent="0.3">
      <c r="A4" s="1" t="s">
        <v>2</v>
      </c>
      <c r="B4" s="2" t="s">
        <v>3</v>
      </c>
      <c r="C4" s="1" t="s">
        <v>4</v>
      </c>
    </row>
    <row r="5" spans="1:3" ht="15" customHeight="1" x14ac:dyDescent="0.3">
      <c r="A5" s="3" t="s">
        <v>89</v>
      </c>
      <c r="B5" s="4">
        <v>577000</v>
      </c>
      <c r="C5" s="5" t="s">
        <v>90</v>
      </c>
    </row>
    <row r="6" spans="1:3" ht="15" customHeight="1" x14ac:dyDescent="0.3">
      <c r="A6" s="3" t="s">
        <v>91</v>
      </c>
      <c r="B6" s="4">
        <v>-50000</v>
      </c>
      <c r="C6" s="5" t="s">
        <v>92</v>
      </c>
    </row>
    <row r="7" spans="1:3" ht="31.5" customHeight="1" x14ac:dyDescent="0.3">
      <c r="A7" s="3" t="s">
        <v>93</v>
      </c>
      <c r="B7" s="4">
        <v>0</v>
      </c>
      <c r="C7" s="5" t="s">
        <v>94</v>
      </c>
    </row>
    <row r="8" spans="1:3" ht="6" customHeight="1" x14ac:dyDescent="0.3"/>
    <row r="9" spans="1:3" ht="16.5" customHeight="1" x14ac:dyDescent="0.3">
      <c r="A9" s="28" t="s">
        <v>61</v>
      </c>
      <c r="B9" s="28"/>
      <c r="C9" s="28"/>
    </row>
    <row r="10" spans="1:3" ht="15" customHeight="1" x14ac:dyDescent="0.3">
      <c r="A10" s="1" t="s">
        <v>2</v>
      </c>
      <c r="B10" s="2" t="s">
        <v>3</v>
      </c>
      <c r="C10" s="1" t="s">
        <v>4</v>
      </c>
    </row>
    <row r="11" spans="1:3" ht="15" customHeight="1" x14ac:dyDescent="0.3">
      <c r="A11" s="3" t="s">
        <v>66</v>
      </c>
      <c r="B11" s="4">
        <v>508000</v>
      </c>
      <c r="C11" s="5" t="s">
        <v>67</v>
      </c>
    </row>
    <row r="12" spans="1:3" ht="21.75" customHeight="1" x14ac:dyDescent="0.3">
      <c r="A12" s="3" t="s">
        <v>216</v>
      </c>
      <c r="B12" s="6">
        <f>IF(B6&lt;0,B11*0.2,B11*0.1)</f>
        <v>101600</v>
      </c>
      <c r="C12" s="5" t="s">
        <v>68</v>
      </c>
    </row>
    <row r="13" spans="1:3" ht="6" customHeight="1" x14ac:dyDescent="0.3"/>
    <row r="14" spans="1:3" ht="16.5" customHeight="1" x14ac:dyDescent="0.3">
      <c r="A14" s="28" t="s">
        <v>95</v>
      </c>
      <c r="B14" s="28"/>
      <c r="C14" s="28"/>
    </row>
    <row r="15" spans="1:3" ht="15" customHeight="1" x14ac:dyDescent="0.3">
      <c r="A15" s="1" t="s">
        <v>2</v>
      </c>
      <c r="B15" s="2" t="s">
        <v>3</v>
      </c>
      <c r="C15" s="1" t="s">
        <v>4</v>
      </c>
    </row>
    <row r="16" spans="1:3" ht="15" customHeight="1" x14ac:dyDescent="0.3">
      <c r="A16" s="3" t="s">
        <v>70</v>
      </c>
      <c r="B16" s="4">
        <v>410000</v>
      </c>
      <c r="C16" s="5" t="s">
        <v>71</v>
      </c>
    </row>
    <row r="17" spans="1:3" ht="15" customHeight="1" x14ac:dyDescent="0.3">
      <c r="A17" s="3" t="s">
        <v>72</v>
      </c>
      <c r="B17" s="9">
        <f>IF(B5=0,0,B16/B5)</f>
        <v>0.71057192374350087</v>
      </c>
    </row>
    <row r="18" spans="1:3" ht="31.5" customHeight="1" x14ac:dyDescent="0.3">
      <c r="A18" s="3" t="s">
        <v>215</v>
      </c>
      <c r="B18" s="9">
        <f>IF(B17&gt;=0.7,0.1,IF(B17&gt;=0.5,0.05,0))</f>
        <v>0.1</v>
      </c>
      <c r="C18" s="5" t="s">
        <v>96</v>
      </c>
    </row>
    <row r="19" spans="1:3" ht="6" customHeight="1" x14ac:dyDescent="0.3"/>
    <row r="20" spans="1:3" ht="16.5" customHeight="1" x14ac:dyDescent="0.3">
      <c r="A20" s="28" t="s">
        <v>75</v>
      </c>
      <c r="B20" s="28"/>
      <c r="C20" s="28"/>
    </row>
    <row r="21" spans="1:3" ht="15" customHeight="1" x14ac:dyDescent="0.3">
      <c r="A21" s="1" t="s">
        <v>2</v>
      </c>
      <c r="B21" s="2" t="s">
        <v>3</v>
      </c>
      <c r="C21" s="1" t="s">
        <v>4</v>
      </c>
    </row>
    <row r="22" spans="1:3" ht="25.5" customHeight="1" x14ac:dyDescent="0.3">
      <c r="A22" s="3" t="s">
        <v>76</v>
      </c>
      <c r="B22" s="6">
        <f>B5*0.12</f>
        <v>69240</v>
      </c>
      <c r="C22" s="5" t="s">
        <v>97</v>
      </c>
    </row>
    <row r="23" spans="1:3" ht="27.75" customHeight="1" x14ac:dyDescent="0.3">
      <c r="A23" s="3" t="s">
        <v>98</v>
      </c>
      <c r="B23" s="6">
        <f>MAX(B6+B12,B22)</f>
        <v>69240</v>
      </c>
      <c r="C23" s="5" t="s">
        <v>79</v>
      </c>
    </row>
    <row r="24" spans="1:3" ht="15" customHeight="1" x14ac:dyDescent="0.3">
      <c r="A24" s="3" t="s">
        <v>80</v>
      </c>
      <c r="B24" s="6">
        <f>B23*(1+B18)</f>
        <v>76164</v>
      </c>
    </row>
    <row r="25" spans="1:3" ht="15" customHeight="1" x14ac:dyDescent="0.3">
      <c r="A25" s="7" t="s">
        <v>81</v>
      </c>
      <c r="B25" s="8">
        <f>B24/12</f>
        <v>6347</v>
      </c>
    </row>
    <row r="26" spans="1:3" ht="6" customHeight="1" x14ac:dyDescent="0.3"/>
    <row r="27" spans="1:3" ht="16.5" customHeight="1" x14ac:dyDescent="0.3">
      <c r="A27" s="28" t="s">
        <v>44</v>
      </c>
      <c r="B27" s="28"/>
      <c r="C27" s="28"/>
    </row>
    <row r="28" spans="1:3" ht="15" customHeight="1" x14ac:dyDescent="0.3">
      <c r="A28" s="1" t="s">
        <v>2</v>
      </c>
      <c r="B28" s="2" t="s">
        <v>3</v>
      </c>
      <c r="C28" s="1" t="s">
        <v>4</v>
      </c>
    </row>
    <row r="29" spans="1:3" ht="15" customHeight="1" x14ac:dyDescent="0.3">
      <c r="A29" s="3" t="s">
        <v>47</v>
      </c>
      <c r="B29" s="9">
        <f>IF(B25&lt;=0,0,IF(B25&lt;=600,0,IF(B25&lt;=1000,0.3,IF(B25&lt;=1500,0.33,IF(B25&lt;=2000,0.35,IF(B25&lt;=3000,0.38,IF(B25&lt;=5000,0.4,IF(B25&lt;=10000,0.45,0.5))))))))</f>
        <v>0.45</v>
      </c>
      <c r="C29" s="5" t="s">
        <v>99</v>
      </c>
    </row>
    <row r="30" spans="1:3" ht="27" customHeight="1" x14ac:dyDescent="0.3">
      <c r="A30" s="3" t="s">
        <v>48</v>
      </c>
      <c r="B30" s="10">
        <v>0</v>
      </c>
      <c r="C30" s="5" t="s">
        <v>49</v>
      </c>
    </row>
    <row r="31" spans="1:3" ht="15" customHeight="1" x14ac:dyDescent="0.3">
      <c r="A31" s="3" t="s">
        <v>100</v>
      </c>
      <c r="B31" s="9">
        <f>IF(B25&gt;5000,0,B30*0.05)</f>
        <v>0</v>
      </c>
    </row>
    <row r="32" spans="1:3" ht="15" customHeight="1" x14ac:dyDescent="0.3">
      <c r="A32" s="3" t="s">
        <v>84</v>
      </c>
      <c r="B32" s="9">
        <f>B29+B31</f>
        <v>0.45</v>
      </c>
    </row>
    <row r="33" spans="1:3" ht="15" customHeight="1" x14ac:dyDescent="0.3">
      <c r="A33" s="3" t="s">
        <v>101</v>
      </c>
      <c r="B33" s="6">
        <f>IF(B25&lt;=600,0,B25*B32)</f>
        <v>2856.15</v>
      </c>
    </row>
    <row r="34" spans="1:3" ht="15" customHeight="1" x14ac:dyDescent="0.3">
      <c r="A34" s="3" t="s">
        <v>102</v>
      </c>
      <c r="B34" s="4">
        <v>0</v>
      </c>
    </row>
    <row r="35" spans="1:3" ht="15" customHeight="1" x14ac:dyDescent="0.3">
      <c r="A35" s="3" t="s">
        <v>56</v>
      </c>
      <c r="B35" s="8">
        <f>IF(B34=0,0,IF(B34&lt;=500,IF(B30=0,B33*0.15,0),IF(B34&lt;=1000,IF(B30=0,B33*0.2,IF(B30=1,B33*0.15,IF(B30=2,B33*0.1,B33*0.05))),IF(B34&lt;=3000,IF(B30=0,B33*0.5,IF(B30=1,B33*0.4,IF(B30=2,B33*0.3,B33*0.2))),B33*1))))</f>
        <v>0</v>
      </c>
    </row>
    <row r="36" spans="1:3" ht="28.5" customHeight="1" x14ac:dyDescent="0.3">
      <c r="A36" s="3" t="s">
        <v>103</v>
      </c>
      <c r="B36" s="8">
        <f>IF(OR(B5=0,B6&gt;=0),0,IF(ABS(B6)/B5&lt;=0.05,0,IF(ABS(B6)/B5&lt;=0.1,B33*0.1,IF(ABS(B6)/B5&lt;=0.2,B33*0.15,B33*0.2))))</f>
        <v>285.61500000000001</v>
      </c>
      <c r="C36" s="5" t="s">
        <v>86</v>
      </c>
    </row>
    <row r="37" spans="1:3" ht="6" customHeight="1" x14ac:dyDescent="0.3"/>
    <row r="38" spans="1:3" ht="21.75" customHeight="1" x14ac:dyDescent="0.3">
      <c r="A38" s="26" t="s">
        <v>57</v>
      </c>
      <c r="B38" s="26"/>
      <c r="C38" s="26"/>
    </row>
    <row r="39" spans="1:3" ht="24" customHeight="1" x14ac:dyDescent="0.3">
      <c r="A39" s="11" t="s">
        <v>58</v>
      </c>
      <c r="B39" s="12">
        <f>MROUND(MAX(0,B33-B35-B36),10)</f>
        <v>2570</v>
      </c>
      <c r="C39" s="13" t="s">
        <v>59</v>
      </c>
    </row>
  </sheetData>
  <mergeCells count="7">
    <mergeCell ref="A27:C27"/>
    <mergeCell ref="A38:C38"/>
    <mergeCell ref="A1:C1"/>
    <mergeCell ref="A3:C3"/>
    <mergeCell ref="A9:C9"/>
    <mergeCell ref="A14:C1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topLeftCell="A16" zoomScaleNormal="100" workbookViewId="0">
      <selection activeCell="D31" sqref="D31"/>
    </sheetView>
  </sheetViews>
  <sheetFormatPr defaultColWidth="8.6640625" defaultRowHeight="14.4" x14ac:dyDescent="0.3"/>
  <cols>
    <col min="1" max="1" width="28" customWidth="1"/>
    <col min="2" max="2" width="68" customWidth="1"/>
    <col min="3" max="3" width="22" customWidth="1"/>
    <col min="4" max="5" width="15" customWidth="1"/>
  </cols>
  <sheetData>
    <row r="1" spans="1:3" ht="21.75" customHeight="1" x14ac:dyDescent="0.3">
      <c r="A1" s="30" t="s">
        <v>104</v>
      </c>
      <c r="B1" s="30"/>
      <c r="C1" s="30"/>
    </row>
    <row r="2" spans="1:3" ht="6" customHeight="1" x14ac:dyDescent="0.3"/>
    <row r="3" spans="1:3" ht="16.5" customHeight="1" x14ac:dyDescent="0.3">
      <c r="A3" s="29" t="s">
        <v>105</v>
      </c>
      <c r="B3" s="29"/>
      <c r="C3" s="29"/>
    </row>
    <row r="4" spans="1:3" ht="38.25" customHeight="1" x14ac:dyDescent="0.3">
      <c r="A4" s="14" t="s">
        <v>106</v>
      </c>
      <c r="B4" s="15" t="s">
        <v>107</v>
      </c>
      <c r="C4" s="16"/>
    </row>
    <row r="5" spans="1:3" ht="27.75" customHeight="1" x14ac:dyDescent="0.3">
      <c r="A5" s="14" t="s">
        <v>108</v>
      </c>
      <c r="B5" s="15" t="s">
        <v>109</v>
      </c>
      <c r="C5" s="16" t="s">
        <v>110</v>
      </c>
    </row>
    <row r="6" spans="1:3" ht="6" customHeight="1" x14ac:dyDescent="0.3"/>
    <row r="7" spans="1:3" ht="16.5" customHeight="1" x14ac:dyDescent="0.3">
      <c r="A7" s="29" t="s">
        <v>111</v>
      </c>
      <c r="B7" s="29"/>
      <c r="C7" s="29"/>
    </row>
    <row r="8" spans="1:3" ht="27.75" customHeight="1" x14ac:dyDescent="0.3">
      <c r="A8" s="14" t="s">
        <v>112</v>
      </c>
      <c r="B8" s="15" t="s">
        <v>113</v>
      </c>
      <c r="C8" s="16" t="s">
        <v>114</v>
      </c>
    </row>
    <row r="9" spans="1:3" ht="27.75" customHeight="1" x14ac:dyDescent="0.3">
      <c r="A9" s="14" t="s">
        <v>115</v>
      </c>
      <c r="B9" s="15" t="s">
        <v>116</v>
      </c>
      <c r="C9" s="16" t="s">
        <v>117</v>
      </c>
    </row>
    <row r="10" spans="1:3" ht="27.75" customHeight="1" x14ac:dyDescent="0.3">
      <c r="A10" s="14" t="s">
        <v>118</v>
      </c>
      <c r="B10" s="15" t="s">
        <v>119</v>
      </c>
      <c r="C10" s="16" t="s">
        <v>120</v>
      </c>
    </row>
    <row r="11" spans="1:3" ht="27.75" customHeight="1" x14ac:dyDescent="0.3">
      <c r="A11" s="14" t="s">
        <v>121</v>
      </c>
      <c r="B11" s="15" t="s">
        <v>122</v>
      </c>
      <c r="C11" s="16" t="s">
        <v>123</v>
      </c>
    </row>
    <row r="12" spans="1:3" ht="27.75" customHeight="1" x14ac:dyDescent="0.3">
      <c r="A12" s="14" t="s">
        <v>124</v>
      </c>
      <c r="B12" s="15" t="s">
        <v>125</v>
      </c>
      <c r="C12" s="16" t="s">
        <v>126</v>
      </c>
    </row>
    <row r="13" spans="1:3" ht="27.75" customHeight="1" x14ac:dyDescent="0.3">
      <c r="A13" s="14" t="s">
        <v>127</v>
      </c>
      <c r="B13" s="15" t="s">
        <v>128</v>
      </c>
      <c r="C13" s="16" t="s">
        <v>129</v>
      </c>
    </row>
    <row r="14" spans="1:3" ht="6" customHeight="1" x14ac:dyDescent="0.3"/>
    <row r="15" spans="1:3" ht="16.5" customHeight="1" x14ac:dyDescent="0.3">
      <c r="A15" s="29" t="s">
        <v>130</v>
      </c>
      <c r="B15" s="29"/>
      <c r="C15" s="29"/>
    </row>
    <row r="16" spans="1:3" ht="31.5" customHeight="1" x14ac:dyDescent="0.3">
      <c r="A16" s="14" t="s">
        <v>131</v>
      </c>
      <c r="B16" s="15" t="s">
        <v>132</v>
      </c>
      <c r="C16" s="16" t="s">
        <v>133</v>
      </c>
    </row>
    <row r="17" spans="1:3" ht="36" customHeight="1" x14ac:dyDescent="0.3">
      <c r="A17" s="14" t="s">
        <v>134</v>
      </c>
      <c r="B17" s="15" t="s">
        <v>135</v>
      </c>
      <c r="C17" s="16" t="s">
        <v>136</v>
      </c>
    </row>
    <row r="18" spans="1:3" ht="27.75" customHeight="1" x14ac:dyDescent="0.3">
      <c r="A18" s="14" t="s">
        <v>137</v>
      </c>
      <c r="B18" s="15" t="s">
        <v>138</v>
      </c>
      <c r="C18" s="16" t="s">
        <v>139</v>
      </c>
    </row>
    <row r="19" spans="1:3" ht="27.75" customHeight="1" x14ac:dyDescent="0.3">
      <c r="A19" s="14" t="s">
        <v>140</v>
      </c>
      <c r="B19" s="15" t="s">
        <v>141</v>
      </c>
      <c r="C19" s="16" t="s">
        <v>142</v>
      </c>
    </row>
    <row r="20" spans="1:3" ht="6" customHeight="1" x14ac:dyDescent="0.3"/>
    <row r="21" spans="1:3" ht="16.5" customHeight="1" x14ac:dyDescent="0.3">
      <c r="A21" s="29" t="s">
        <v>143</v>
      </c>
      <c r="B21" s="29"/>
      <c r="C21" s="29"/>
    </row>
    <row r="22" spans="1:3" ht="31.5" customHeight="1" x14ac:dyDescent="0.3">
      <c r="A22" s="14" t="s">
        <v>131</v>
      </c>
      <c r="B22" s="15" t="s">
        <v>144</v>
      </c>
      <c r="C22" s="16" t="s">
        <v>145</v>
      </c>
    </row>
    <row r="23" spans="1:3" ht="27.75" customHeight="1" x14ac:dyDescent="0.3">
      <c r="A23" s="14" t="s">
        <v>134</v>
      </c>
      <c r="B23" s="15" t="s">
        <v>146</v>
      </c>
      <c r="C23" s="16"/>
    </row>
    <row r="24" spans="1:3" ht="27.75" customHeight="1" x14ac:dyDescent="0.3">
      <c r="A24" s="14" t="s">
        <v>137</v>
      </c>
      <c r="B24" s="15" t="s">
        <v>147</v>
      </c>
      <c r="C24" s="16" t="s">
        <v>148</v>
      </c>
    </row>
    <row r="25" spans="1:3" ht="27.75" customHeight="1" x14ac:dyDescent="0.3">
      <c r="A25" s="14" t="s">
        <v>140</v>
      </c>
      <c r="B25" s="15" t="s">
        <v>149</v>
      </c>
      <c r="C25" s="16" t="s">
        <v>142</v>
      </c>
    </row>
    <row r="26" spans="1:3" ht="27.75" customHeight="1" x14ac:dyDescent="0.3">
      <c r="A26" s="14" t="s">
        <v>150</v>
      </c>
      <c r="B26" s="15" t="s">
        <v>151</v>
      </c>
      <c r="C26" s="16" t="s">
        <v>152</v>
      </c>
    </row>
    <row r="27" spans="1:3" ht="6" customHeight="1" x14ac:dyDescent="0.3"/>
    <row r="28" spans="1:3" ht="16.5" customHeight="1" x14ac:dyDescent="0.3">
      <c r="A28" s="29" t="s">
        <v>153</v>
      </c>
      <c r="B28" s="29"/>
      <c r="C28" s="29"/>
    </row>
    <row r="29" spans="1:3" ht="15" customHeight="1" x14ac:dyDescent="0.3">
      <c r="A29" s="17" t="s">
        <v>154</v>
      </c>
      <c r="B29" s="17" t="s">
        <v>155</v>
      </c>
      <c r="C29" s="17" t="s">
        <v>156</v>
      </c>
    </row>
    <row r="30" spans="1:3" ht="15" customHeight="1" x14ac:dyDescent="0.3">
      <c r="A30" s="18" t="s">
        <v>157</v>
      </c>
      <c r="B30" s="18" t="s">
        <v>158</v>
      </c>
      <c r="C30" s="18" t="s">
        <v>159</v>
      </c>
    </row>
    <row r="31" spans="1:3" ht="15" customHeight="1" x14ac:dyDescent="0.3">
      <c r="A31" s="18" t="s">
        <v>160</v>
      </c>
      <c r="B31" s="18" t="s">
        <v>161</v>
      </c>
      <c r="C31" s="18"/>
    </row>
    <row r="32" spans="1:3" ht="15" customHeight="1" x14ac:dyDescent="0.3">
      <c r="A32" s="18" t="s">
        <v>162</v>
      </c>
      <c r="B32" s="18" t="s">
        <v>163</v>
      </c>
      <c r="C32" s="18"/>
    </row>
    <row r="33" spans="1:5" ht="15" customHeight="1" x14ac:dyDescent="0.3">
      <c r="A33" s="18" t="s">
        <v>164</v>
      </c>
      <c r="B33" s="18" t="s">
        <v>165</v>
      </c>
      <c r="C33" s="18"/>
    </row>
    <row r="34" spans="1:5" ht="15" customHeight="1" x14ac:dyDescent="0.3">
      <c r="A34" s="18" t="s">
        <v>166</v>
      </c>
      <c r="B34" s="18" t="s">
        <v>167</v>
      </c>
      <c r="C34" s="18"/>
    </row>
    <row r="35" spans="1:5" ht="15" customHeight="1" x14ac:dyDescent="0.3">
      <c r="A35" s="18" t="s">
        <v>168</v>
      </c>
      <c r="B35" s="18" t="s">
        <v>169</v>
      </c>
      <c r="C35" s="18"/>
    </row>
    <row r="36" spans="1:5" ht="15" customHeight="1" x14ac:dyDescent="0.3">
      <c r="A36" s="18" t="s">
        <v>170</v>
      </c>
      <c r="B36" s="18" t="s">
        <v>213</v>
      </c>
      <c r="C36" s="18" t="s">
        <v>171</v>
      </c>
    </row>
    <row r="37" spans="1:5" ht="15" customHeight="1" x14ac:dyDescent="0.3">
      <c r="A37" s="18" t="s">
        <v>172</v>
      </c>
      <c r="B37" s="18" t="s">
        <v>212</v>
      </c>
      <c r="C37" s="18" t="s">
        <v>171</v>
      </c>
    </row>
    <row r="38" spans="1:5" ht="6" customHeight="1" x14ac:dyDescent="0.3"/>
    <row r="39" spans="1:5" ht="16.5" customHeight="1" x14ac:dyDescent="0.3">
      <c r="A39" s="29" t="s">
        <v>173</v>
      </c>
      <c r="B39" s="29"/>
      <c r="C39" s="29"/>
    </row>
    <row r="40" spans="1:5" ht="15" customHeight="1" x14ac:dyDescent="0.3">
      <c r="A40" s="17" t="s">
        <v>174</v>
      </c>
      <c r="B40" s="17" t="s">
        <v>175</v>
      </c>
      <c r="C40" s="17" t="s">
        <v>176</v>
      </c>
      <c r="D40" s="17" t="s">
        <v>177</v>
      </c>
      <c r="E40" s="17" t="s">
        <v>178</v>
      </c>
    </row>
    <row r="41" spans="1:5" ht="15" customHeight="1" x14ac:dyDescent="0.3">
      <c r="A41" s="18" t="s">
        <v>179</v>
      </c>
      <c r="B41" s="18" t="s">
        <v>158</v>
      </c>
      <c r="C41" s="18" t="s">
        <v>158</v>
      </c>
      <c r="D41" s="18" t="s">
        <v>158</v>
      </c>
      <c r="E41" s="18" t="s">
        <v>158</v>
      </c>
    </row>
    <row r="42" spans="1:5" ht="15" customHeight="1" x14ac:dyDescent="0.3">
      <c r="A42" s="18" t="s">
        <v>180</v>
      </c>
      <c r="B42" s="18" t="s">
        <v>181</v>
      </c>
      <c r="C42" s="18" t="s">
        <v>158</v>
      </c>
      <c r="D42" s="18" t="s">
        <v>158</v>
      </c>
      <c r="E42" s="18" t="s">
        <v>158</v>
      </c>
    </row>
    <row r="43" spans="1:5" ht="15" customHeight="1" x14ac:dyDescent="0.3">
      <c r="A43" s="18" t="s">
        <v>182</v>
      </c>
      <c r="B43" s="18" t="s">
        <v>183</v>
      </c>
      <c r="C43" s="18" t="s">
        <v>181</v>
      </c>
      <c r="D43" s="18" t="s">
        <v>184</v>
      </c>
      <c r="E43" s="18" t="s">
        <v>185</v>
      </c>
    </row>
    <row r="44" spans="1:5" ht="15" customHeight="1" x14ac:dyDescent="0.3">
      <c r="A44" s="18" t="s">
        <v>186</v>
      </c>
      <c r="B44" s="18" t="s">
        <v>187</v>
      </c>
      <c r="C44" s="18" t="s">
        <v>188</v>
      </c>
      <c r="D44" s="18" t="s">
        <v>189</v>
      </c>
      <c r="E44" s="18" t="s">
        <v>183</v>
      </c>
    </row>
    <row r="45" spans="1:5" ht="15" customHeight="1" x14ac:dyDescent="0.3">
      <c r="A45" s="18" t="s">
        <v>190</v>
      </c>
      <c r="B45" s="18" t="s">
        <v>191</v>
      </c>
      <c r="C45" s="18" t="s">
        <v>191</v>
      </c>
      <c r="D45" s="18" t="s">
        <v>191</v>
      </c>
      <c r="E45" s="18" t="s">
        <v>191</v>
      </c>
    </row>
    <row r="46" spans="1:5" ht="6" customHeight="1" x14ac:dyDescent="0.3"/>
    <row r="47" spans="1:5" ht="16.5" customHeight="1" x14ac:dyDescent="0.3">
      <c r="A47" s="29" t="s">
        <v>192</v>
      </c>
      <c r="B47" s="29"/>
      <c r="C47" s="29"/>
    </row>
    <row r="48" spans="1:5" ht="15" customHeight="1" x14ac:dyDescent="0.3">
      <c r="A48" s="17" t="s">
        <v>193</v>
      </c>
      <c r="B48" s="17" t="s">
        <v>194</v>
      </c>
      <c r="C48" s="17" t="s">
        <v>156</v>
      </c>
    </row>
    <row r="49" spans="1:3" ht="19.5" customHeight="1" x14ac:dyDescent="0.3">
      <c r="A49" s="18" t="s">
        <v>195</v>
      </c>
      <c r="B49" s="18" t="s">
        <v>158</v>
      </c>
      <c r="C49" s="18" t="s">
        <v>196</v>
      </c>
    </row>
    <row r="50" spans="1:3" ht="19.5" customHeight="1" x14ac:dyDescent="0.3">
      <c r="A50" s="18" t="s">
        <v>197</v>
      </c>
      <c r="B50" s="18" t="s">
        <v>184</v>
      </c>
      <c r="C50" s="18" t="s">
        <v>198</v>
      </c>
    </row>
    <row r="51" spans="1:3" ht="19.5" customHeight="1" x14ac:dyDescent="0.3">
      <c r="A51" s="18" t="s">
        <v>199</v>
      </c>
      <c r="B51" s="18" t="s">
        <v>181</v>
      </c>
      <c r="C51" s="18" t="s">
        <v>200</v>
      </c>
    </row>
    <row r="52" spans="1:3" ht="19.5" customHeight="1" x14ac:dyDescent="0.3">
      <c r="A52" s="18" t="s">
        <v>201</v>
      </c>
      <c r="B52" s="18" t="s">
        <v>183</v>
      </c>
      <c r="C52" s="18" t="s">
        <v>202</v>
      </c>
    </row>
    <row r="53" spans="1:3" ht="6" customHeight="1" x14ac:dyDescent="0.3"/>
    <row r="54" spans="1:3" ht="16.5" customHeight="1" x14ac:dyDescent="0.3">
      <c r="A54" s="29" t="s">
        <v>203</v>
      </c>
      <c r="B54" s="29"/>
      <c r="C54" s="29"/>
    </row>
    <row r="55" spans="1:3" ht="18" customHeight="1" x14ac:dyDescent="0.3">
      <c r="A55" s="19" t="s">
        <v>204</v>
      </c>
      <c r="B55" s="20" t="s">
        <v>205</v>
      </c>
      <c r="C55" s="20"/>
    </row>
    <row r="56" spans="1:3" ht="18" customHeight="1" x14ac:dyDescent="0.3">
      <c r="A56" s="19" t="s">
        <v>206</v>
      </c>
      <c r="B56" s="20" t="s">
        <v>207</v>
      </c>
      <c r="C56" s="20"/>
    </row>
    <row r="57" spans="1:3" ht="18" customHeight="1" x14ac:dyDescent="0.3">
      <c r="A57" s="19" t="s">
        <v>208</v>
      </c>
      <c r="B57" s="20" t="s">
        <v>209</v>
      </c>
      <c r="C57" s="20"/>
    </row>
    <row r="58" spans="1:3" ht="18" customHeight="1" x14ac:dyDescent="0.3">
      <c r="A58" s="19" t="s">
        <v>210</v>
      </c>
      <c r="B58" s="20" t="s">
        <v>211</v>
      </c>
      <c r="C58" s="20"/>
    </row>
  </sheetData>
  <mergeCells count="9">
    <mergeCell ref="A28:C28"/>
    <mergeCell ref="A39:C39"/>
    <mergeCell ref="A47:C47"/>
    <mergeCell ref="A54:C54"/>
    <mergeCell ref="A1:C1"/>
    <mergeCell ref="A3:C3"/>
    <mergeCell ref="A7:C7"/>
    <mergeCell ref="A15:C15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Ιδιώτες</vt:lpstr>
      <vt:lpstr>Ατομικές Επιχειρήσεις</vt:lpstr>
      <vt:lpstr>Νομικά Πρόσωπα</vt:lpstr>
      <vt:lpstr>Επεξήγηση Φόρμουλας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Konstantinos Fitilis</cp:lastModifiedBy>
  <cp:revision>0</cp:revision>
  <dcterms:created xsi:type="dcterms:W3CDTF">2026-04-22T09:20:32Z</dcterms:created>
  <dcterms:modified xsi:type="dcterms:W3CDTF">2026-04-28T13:23:05Z</dcterms:modified>
  <dc:language>en-US</dc:language>
</cp:coreProperties>
</file>